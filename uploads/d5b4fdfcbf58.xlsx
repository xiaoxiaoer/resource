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20" windowHeight="14000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<sst xmlns="http://schemas.openxmlformats.org/spreadsheetml/2006/main" count="232" uniqueCount="205">
  <si>
    <t>项目信息收集表</t>
  </si>
  <si>
    <t>填写黄色部分</t>
  </si>
  <si>
    <t>车场名称</t>
  </si>
  <si>
    <t>云禧园社会停车场</t>
  </si>
  <si>
    <t>车场地址</t>
  </si>
  <si>
    <t>佛山市南海区桂城街道长江路与科三路交叉口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</si>
  <si>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</si>
  <si>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</si>
  <si>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</si>
  <si>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</si>
  <si>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</si>
  <si>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</si>
  <si>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</si>
  <si>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佛山市星电新能源科技有限公司</t>
  </si>
  <si>
    <t>产权方/承包方</t>
  </si>
  <si>
    <t>承包到期日期</t>
  </si>
  <si>
    <t>2035年 月  日</t>
  </si>
  <si>
    <t>示例：2023年7月8日（合作客户为承包方必填）</t>
  </si>
  <si>
    <t>停车场收费规则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</si>
  <si>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</si>
  <si>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</si>
  <si>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</si>
  <si>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</si>
  <si>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</si>
  <si>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</si>
  <si>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</si>
  <si>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</si>
  <si>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</si>
  <si>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</si>
  <si>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</si>
  <si>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</si>
  <si>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</si>
  <si>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</si>
  <si>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</si>
  <si>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</si>
  <si>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</si>
  <si>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</si>
  <si>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</si>
  <si>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</si>
  <si>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</si>
  <si>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</si>
  <si>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</si>
  <si>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</si>
  <si>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佛山三区</t>
  </si>
  <si>
    <t>提交人</t>
  </si>
  <si>
    <t>赖振豪</t>
  </si>
  <si>
    <t>月均消耗比例</t>
  </si>
  <si>
    <t>商机名称</t>
  </si>
  <si>
    <t>是否分期代扣</t>
  </si>
  <si>
    <t>实际采买折扣 X</t>
  </si>
  <si>
    <t>CRM报价单号</t>
  </si>
  <si>
    <t>BJD26045887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</si>
  <si>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</si>
  <si>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</si>
  <si>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</si>
  <si>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</si>
  <si>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</si>
  <si>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</si>
  <si>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</si>
  <si>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</si>
  <si>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</si>
  <si>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</si>
  <si>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</si>
  <si>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</si>
  <si>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</si>
  <si>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</si>
  <si>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</si>
  <si>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</si>
  <si>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</si>
  <si>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</si>
  <si>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</si>
  <si>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</si>
  <si>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</si>
  <si>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</si>
  <si>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</si>
  <si>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</si>
  <si>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</si>
  <si>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</si>
  <si>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</si>
  <si>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</si>
  <si>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</si>
  <si>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增值税普通发票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</si>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</sst>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0_ "/>
    <numFmt numFmtId="180" formatCode="0.00_ "/>
    <numFmt numFmtId="181" formatCode="0_);[Red]\(0\)"/>
    <numFmt numFmtId="182" formatCode="0.0_ "/>
  </numFmts>
  <fonts count="67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3.5"/>
      <color rgb="FF000000"/>
      <name val="等线"/>
      <charset val="134"/>
    </font>
    <font>
      <sz val="13.5"/>
      <color rgb="FF000000"/>
      <name val="等线"/>
      <charset val="134"/>
      <scheme val="minor"/>
    </font>
    <font>
      <b/>
      <sz val="13.5"/>
      <color rgb="FFFF0000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"/>
      <color rgb="FF000000"/>
      <name val="等线"/>
      <charset val="134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b/>
      <sz val="10.5"/>
      <color rgb="FFF54A45"/>
      <name val="等线"/>
      <charset val="134"/>
      <scheme val="minor"/>
    </font>
    <font>
      <b/>
      <sz val="13.5"/>
      <color rgb="FFC00000"/>
      <name val="等线"/>
      <charset val="134"/>
      <scheme val="minor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3"/>
      <color rgb="FF000000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rgb="FF000000"/>
      <name val="等线"/>
      <charset val="134"/>
    </font>
    <font>
      <sz val="10.5"/>
      <color rgb="FFFF0000"/>
      <name val="等线"/>
      <charset val="134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Calibri"/>
      <charset val="134"/>
    </font>
    <font>
      <sz val="20"/>
      <color rgb="FFFF0000"/>
      <name val="汉仪书宋二KW"/>
      <charset val="134"/>
    </font>
    <font>
      <sz val="11"/>
      <color rgb="FF000000"/>
      <name val="汉仪书宋二KW"/>
      <charset val="134"/>
    </font>
    <font>
      <sz val="10.5"/>
      <color rgb="FF000000"/>
      <name val="Calibri"/>
      <charset val="134"/>
    </font>
    <font>
      <b/>
      <sz val="10.5"/>
      <color rgb="FFFF00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0" fillId="13" borderId="2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28" applyNumberFormat="0" applyAlignment="0" applyProtection="0">
      <alignment vertical="center"/>
    </xf>
    <xf numFmtId="0" fontId="52" fillId="15" borderId="29" applyNumberFormat="0" applyAlignment="0" applyProtection="0">
      <alignment vertical="center"/>
    </xf>
    <xf numFmtId="0" fontId="53" fillId="15" borderId="28" applyNumberFormat="0" applyAlignment="0" applyProtection="0">
      <alignment vertical="center"/>
    </xf>
    <xf numFmtId="0" fontId="54" fillId="16" borderId="30" applyNumberFormat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56" fillId="0" borderId="32" applyNumberFormat="0" applyFill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</cellStyleXfs>
  <cellXfs count="180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1" fillId="0" borderId="7" xfId="0" applyNumberFormat="1" applyFont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80" fontId="11" fillId="8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14" fillId="7" borderId="7" xfId="0" applyNumberFormat="1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177" fontId="15" fillId="0" borderId="19" xfId="0" applyNumberFormat="1" applyFont="1" applyFill="1" applyBorder="1" applyAlignment="1" applyProtection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10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19" fillId="5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2" fontId="19" fillId="5" borderId="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9" fillId="5" borderId="7" xfId="0" applyNumberFormat="1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9" fontId="19" fillId="5" borderId="7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left" vertical="top" wrapText="1"/>
    </xf>
    <xf numFmtId="0" fontId="2" fillId="6" borderId="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80" fontId="26" fillId="0" borderId="7" xfId="0" applyNumberFormat="1" applyFont="1" applyBorder="1" applyAlignment="1">
      <alignment horizontal="center" vertical="center"/>
    </xf>
    <xf numFmtId="181" fontId="27" fillId="0" borderId="20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left" vertical="center"/>
    </xf>
    <xf numFmtId="0" fontId="29" fillId="10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30" fillId="10" borderId="21" xfId="0" applyNumberFormat="1" applyFont="1" applyFill="1" applyBorder="1" applyAlignment="1" applyProtection="1">
      <alignment horizontal="center" vertical="center"/>
    </xf>
    <xf numFmtId="0" fontId="9" fillId="6" borderId="7" xfId="0" applyFont="1" applyFill="1" applyBorder="1" applyAlignment="1">
      <alignment horizontal="right" vertical="center"/>
    </xf>
    <xf numFmtId="0" fontId="31" fillId="0" borderId="7" xfId="0" applyFont="1" applyBorder="1" applyAlignment="1">
      <alignment horizontal="left" vertical="center"/>
    </xf>
    <xf numFmtId="0" fontId="29" fillId="0" borderId="21" xfId="0" applyNumberFormat="1" applyFont="1" applyFill="1" applyBorder="1" applyAlignment="1" applyProtection="1">
      <alignment horizontal="left" vertical="center" wrapText="1"/>
    </xf>
    <xf numFmtId="0" fontId="14" fillId="7" borderId="21" xfId="0" applyNumberFormat="1" applyFont="1" applyFill="1" applyBorder="1" applyAlignment="1" applyProtection="1">
      <alignment horizontal="center" vertical="center"/>
    </xf>
    <xf numFmtId="0" fontId="32" fillId="0" borderId="21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38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9" fillId="0" borderId="12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left" vertical="center" wrapText="1"/>
    </xf>
    <xf numFmtId="0" fontId="0" fillId="0" borderId="0" xfId="0"/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40" fillId="12" borderId="1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9" fillId="5" borderId="7" xfId="0" applyFont="1" applyFill="1" applyBorder="1"/>
    <xf numFmtId="0" fontId="39" fillId="0" borderId="19" xfId="0" applyFont="1" applyBorder="1"/>
    <xf numFmtId="0" fontId="41" fillId="0" borderId="10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/>
    <xf numFmtId="0" fontId="1" fillId="0" borderId="19" xfId="0" applyFont="1" applyBorder="1" applyAlignment="1"/>
    <xf numFmtId="0" fontId="22" fillId="0" borderId="23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739140</xdr:colOff>
      <xdr:row>3</xdr:row>
      <xdr:rowOff>317500</xdr:rowOff>
    </xdr:from>
    <xdr:to>
      <xdr:col>17</xdr:col>
      <xdr:colOff>51435</xdr:colOff>
      <xdr:row>18</xdr:row>
      <xdr:rowOff>186055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9040" y="1568450"/>
          <a:ext cx="9300845" cy="5018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3"/>
  <sheetViews>
    <sheetView tabSelected="1" workbookViewId="0">
      <selection activeCell="C9" sqref="C9"/>
    </sheetView>
  </sheetViews>
  <sheetFormatPr defaultColWidth="14" defaultRowHeight="13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3.5" customHeight="1" spans="1:13">
      <c r="A1" s="137" t="s">
        <v>0</v>
      </c>
      <c r="B1" s="138"/>
      <c r="C1" s="139"/>
      <c r="D1" s="138"/>
      <c r="F1" s="140" t="s">
        <v>1</v>
      </c>
      <c r="G1" s="141"/>
      <c r="H1" s="141"/>
      <c r="I1" s="141"/>
    </row>
    <row r="2" ht="22.5" customHeight="1" spans="1:13">
      <c r="A2" s="142" t="s">
        <v>2</v>
      </c>
      <c r="B2" s="143" t="s">
        <v>3</v>
      </c>
      <c r="C2" s="143"/>
      <c r="D2" s="143"/>
      <c r="F2" s="140"/>
      <c r="G2" s="141"/>
      <c r="H2" s="141"/>
      <c r="I2" s="141"/>
    </row>
    <row r="3" ht="22.5" customHeight="1" spans="1:13">
      <c r="A3" s="142" t="s">
        <v>4</v>
      </c>
      <c r="B3" s="143" t="s">
        <v>5</v>
      </c>
      <c r="C3" s="143"/>
      <c r="D3" s="143"/>
      <c r="E3" s="5"/>
      <c r="F3" s="5"/>
      <c r="G3" s="5"/>
      <c r="H3" s="5"/>
      <c r="I3" s="5"/>
      <c r="J3" s="5"/>
      <c r="K3" s="5"/>
      <c r="L3" s="5"/>
      <c r="M3" s="5"/>
    </row>
    <row r="4" ht="34" customHeight="1" spans="1:13">
      <c r="A4" s="144" t="s">
        <v>6</v>
      </c>
      <c r="B4" s="145"/>
      <c r="C4" s="146"/>
      <c r="D4" s="147"/>
      <c r="F4" s="148" t="s">
        <v>7</v>
      </c>
    </row>
    <row r="5" ht="22" customHeight="1" spans="1:13">
      <c r="A5" s="149" t="s">
        <v>8</v>
      </c>
      <c r="B5" s="150" t="s">
        <v>9</v>
      </c>
      <c r="C5" s="150" t="s">
        <v>10</v>
      </c>
      <c r="D5" s="151" t="s">
        <v>11</v>
      </c>
      <c r="F5" s="141"/>
      <c r="G5" s="141"/>
      <c r="H5" s="141"/>
      <c r="I5" s="141"/>
      <c r="J5" s="141"/>
      <c r="K5" s="141"/>
      <c r="L5" s="141"/>
      <c r="M5" s="141"/>
    </row>
    <row r="6" ht="22" customHeight="1" spans="1:13">
      <c r="A6" s="152">
        <v>1.1</v>
      </c>
      <c r="B6" s="153" t="s">
        <v>12</v>
      </c>
      <c r="C6" s="154" t="s">
        <v>13</v>
      </c>
      <c r="D6" s="155" t="s">
        <v>14</v>
      </c>
      <c r="F6" s="141"/>
      <c r="G6" s="141"/>
      <c r="H6" s="141"/>
      <c r="I6" s="141"/>
      <c r="J6" s="141"/>
      <c r="K6" s="141"/>
      <c r="L6" s="141"/>
      <c r="M6" s="141"/>
    </row>
    <row r="7" ht="31" customHeight="1" spans="1:13">
      <c r="A7" s="152">
        <v>1.2</v>
      </c>
      <c r="B7" s="153" t="s">
        <v>15</v>
      </c>
      <c r="C7" s="156" t="s">
        <v>16</v>
      </c>
      <c r="D7" s="155" t="s">
        <v>17</v>
      </c>
      <c r="F7" s="141"/>
      <c r="G7" s="141"/>
      <c r="H7" s="141"/>
      <c r="I7" s="141"/>
      <c r="J7" s="141"/>
      <c r="K7" s="141"/>
      <c r="L7" s="141"/>
      <c r="M7" s="141"/>
    </row>
    <row r="8" ht="40.5" spans="1:13">
      <c r="A8" s="152">
        <v>1.3</v>
      </c>
      <c r="B8" s="153" t="s">
        <v>18</v>
      </c>
      <c r="C8" s="157"/>
      <c r="D8" s="155" t="s">
        <v>19</v>
      </c>
      <c r="F8" s="141"/>
      <c r="G8" s="141"/>
      <c r="H8" s="141"/>
      <c r="I8" s="141"/>
      <c r="J8" s="141"/>
      <c r="K8" s="141"/>
      <c r="L8" s="141"/>
      <c r="M8" s="141"/>
    </row>
    <row r="9" ht="38" customHeight="1" spans="1:13">
      <c r="A9" s="152">
        <v>1.4</v>
      </c>
      <c r="B9" s="158" t="s">
        <v>20</v>
      </c>
      <c r="C9" s="159" t="s">
        <v>21</v>
      </c>
      <c r="D9" s="160" t="s">
        <v>22</v>
      </c>
      <c r="F9" s="141"/>
      <c r="G9" s="141"/>
      <c r="H9" s="141"/>
      <c r="I9" s="141"/>
      <c r="J9" s="141"/>
      <c r="K9" s="141"/>
      <c r="L9" s="141"/>
      <c r="M9" s="141"/>
    </row>
    <row r="10" ht="32" customHeight="1" spans="1:13">
      <c r="A10" s="152">
        <v>1.5</v>
      </c>
      <c r="B10" s="161" t="s">
        <v>23</v>
      </c>
      <c r="C10" s="159" t="s">
        <v>24</v>
      </c>
      <c r="D10" s="162" t="s">
        <v>25</v>
      </c>
      <c r="F10" s="141"/>
      <c r="G10" s="163"/>
      <c r="H10" s="141"/>
      <c r="I10" s="141"/>
      <c r="J10" s="141"/>
      <c r="K10" s="141"/>
      <c r="L10" s="141"/>
      <c r="M10" s="141"/>
    </row>
    <row r="11" ht="32" customHeight="1" spans="1:13">
      <c r="A11" s="152">
        <v>1.6</v>
      </c>
      <c r="B11" s="161" t="s">
        <v>26</v>
      </c>
      <c r="C11" s="157">
        <v>75</v>
      </c>
      <c r="D11" s="162" t="s">
        <v>27</v>
      </c>
      <c r="F11" s="141"/>
      <c r="G11" s="163"/>
      <c r="H11" s="141"/>
      <c r="I11" s="141"/>
      <c r="J11" s="141"/>
      <c r="K11" s="141"/>
      <c r="L11" s="141"/>
      <c r="M11" s="141"/>
    </row>
    <row r="12" ht="22" customHeight="1" spans="1:13">
      <c r="A12" s="144" t="s">
        <v>28</v>
      </c>
      <c r="B12" s="145"/>
      <c r="C12" s="146"/>
      <c r="D12" s="147"/>
      <c r="F12" s="141"/>
      <c r="G12" s="163"/>
      <c r="H12" s="141"/>
      <c r="I12" s="141"/>
      <c r="J12" s="141"/>
      <c r="K12" s="141"/>
      <c r="L12" s="141"/>
      <c r="M12" s="141"/>
    </row>
    <row r="13" ht="22" customHeight="1" spans="1:13">
      <c r="A13" s="164" t="s">
        <v>29</v>
      </c>
      <c r="B13" s="165" t="s">
        <v>30</v>
      </c>
      <c r="C13" s="166" t="s">
        <v>31</v>
      </c>
      <c r="D13" s="167" t="s">
        <v>32</v>
      </c>
      <c r="F13" s="141"/>
      <c r="G13" s="163"/>
      <c r="H13" s="141"/>
      <c r="I13" s="141"/>
      <c r="J13" s="141"/>
      <c r="K13" s="141"/>
      <c r="L13" s="141"/>
      <c r="M13" s="141"/>
    </row>
    <row r="14" ht="22" customHeight="1" spans="1:13">
      <c r="A14" s="168">
        <v>1</v>
      </c>
      <c r="B14" s="169">
        <v>312</v>
      </c>
      <c r="C14" s="170">
        <v>13800</v>
      </c>
      <c r="D14" s="171" t="s">
        <v>33</v>
      </c>
      <c r="F14" s="141"/>
      <c r="G14" s="163"/>
      <c r="H14" s="141"/>
      <c r="I14" s="141"/>
      <c r="J14" s="141"/>
      <c r="K14" s="141"/>
      <c r="L14" s="141"/>
      <c r="M14" s="141"/>
    </row>
    <row r="15" ht="22" customHeight="1" spans="1:13">
      <c r="A15" s="168">
        <v>2</v>
      </c>
      <c r="B15" s="169">
        <v>608</v>
      </c>
      <c r="C15" s="170">
        <v>4680</v>
      </c>
      <c r="D15" s="172"/>
      <c r="F15" s="141"/>
      <c r="G15" s="163"/>
      <c r="H15" s="141"/>
      <c r="I15" s="141"/>
      <c r="J15" s="141"/>
      <c r="K15" s="141"/>
      <c r="L15" s="141"/>
      <c r="M15" s="141"/>
    </row>
    <row r="16" ht="22" customHeight="1" spans="1:13">
      <c r="A16" s="168">
        <v>3</v>
      </c>
      <c r="B16" s="169">
        <v>94</v>
      </c>
      <c r="C16" s="170">
        <v>2398</v>
      </c>
      <c r="D16" s="172"/>
      <c r="F16" s="141"/>
      <c r="G16" s="163"/>
      <c r="H16" s="141"/>
      <c r="I16" s="141"/>
      <c r="J16" s="141"/>
      <c r="K16" s="141"/>
      <c r="L16" s="141"/>
      <c r="M16" s="141"/>
    </row>
    <row r="17" ht="22" customHeight="1" spans="1:13">
      <c r="A17" s="168">
        <v>4</v>
      </c>
      <c r="B17" s="173"/>
      <c r="C17" s="174"/>
      <c r="D17" s="172"/>
      <c r="F17" s="141"/>
      <c r="G17" s="163"/>
      <c r="H17" s="141"/>
      <c r="I17" s="141"/>
      <c r="J17" s="141"/>
      <c r="K17" s="141"/>
      <c r="L17" s="141"/>
      <c r="M17" s="141"/>
    </row>
    <row r="18" ht="22" customHeight="1" spans="1:13">
      <c r="A18" s="168">
        <v>5</v>
      </c>
      <c r="B18" s="173"/>
      <c r="C18" s="174"/>
      <c r="D18" s="172"/>
      <c r="F18" s="141"/>
      <c r="G18" s="163"/>
      <c r="H18" s="141"/>
      <c r="I18" s="141"/>
      <c r="J18" s="141"/>
      <c r="K18" s="141"/>
      <c r="L18" s="141"/>
      <c r="M18" s="141"/>
    </row>
    <row r="19" ht="22" customHeight="1" spans="1:13">
      <c r="A19" s="168">
        <v>6</v>
      </c>
      <c r="B19" s="173"/>
      <c r="C19" s="174"/>
      <c r="D19" s="172"/>
      <c r="F19" s="141"/>
      <c r="G19" s="163"/>
      <c r="H19" s="141"/>
      <c r="I19" s="141"/>
      <c r="J19" s="141"/>
      <c r="K19" s="141"/>
      <c r="L19" s="141"/>
      <c r="M19" s="141"/>
    </row>
    <row r="20" ht="22" customHeight="1" spans="1:13">
      <c r="A20" s="168">
        <v>7</v>
      </c>
      <c r="B20" s="173"/>
      <c r="C20" s="174"/>
      <c r="D20" s="172"/>
      <c r="F20" s="141"/>
      <c r="G20" s="163"/>
      <c r="H20" s="141"/>
      <c r="I20" s="141"/>
      <c r="J20" s="141"/>
      <c r="K20" s="141"/>
      <c r="L20" s="141"/>
      <c r="M20" s="141"/>
    </row>
    <row r="21" ht="22" customHeight="1" spans="1:13">
      <c r="A21" s="168">
        <v>8</v>
      </c>
      <c r="B21" s="173"/>
      <c r="C21" s="174"/>
      <c r="D21" s="172"/>
      <c r="F21" s="141"/>
      <c r="G21" s="163"/>
      <c r="H21" s="141"/>
      <c r="I21" s="141"/>
      <c r="J21" s="141"/>
      <c r="K21" s="141"/>
      <c r="L21" s="141"/>
      <c r="M21" s="141"/>
    </row>
    <row r="22" ht="22" customHeight="1" spans="1:13">
      <c r="A22" s="168">
        <v>9</v>
      </c>
      <c r="B22" s="173"/>
      <c r="C22" s="174"/>
      <c r="D22" s="172"/>
      <c r="F22" s="141"/>
      <c r="G22" s="163"/>
      <c r="H22" s="141"/>
      <c r="I22" s="141"/>
      <c r="J22" s="141"/>
      <c r="K22" s="141"/>
      <c r="L22" s="141"/>
      <c r="M22" s="141"/>
    </row>
    <row r="23" ht="22" customHeight="1" spans="1:13">
      <c r="A23" s="168">
        <v>10</v>
      </c>
      <c r="B23" s="173"/>
      <c r="C23" s="174"/>
      <c r="D23" s="172"/>
      <c r="F23" s="141"/>
      <c r="G23" s="163"/>
      <c r="H23" s="141"/>
      <c r="I23" s="141"/>
      <c r="J23" s="141"/>
      <c r="K23" s="141"/>
      <c r="L23" s="141"/>
      <c r="M23" s="141"/>
    </row>
    <row r="24" ht="22" customHeight="1" spans="1:13">
      <c r="A24" s="168">
        <v>11</v>
      </c>
      <c r="B24" s="173"/>
      <c r="C24" s="174"/>
      <c r="D24" s="172"/>
      <c r="F24" s="141"/>
      <c r="G24" s="163"/>
      <c r="H24" s="141"/>
      <c r="I24" s="141"/>
      <c r="J24" s="141"/>
      <c r="K24" s="141"/>
      <c r="L24" s="141"/>
      <c r="M24" s="141"/>
    </row>
    <row r="25" ht="22" customHeight="1" spans="1:13">
      <c r="A25" s="168">
        <v>12</v>
      </c>
      <c r="B25" s="173"/>
      <c r="C25" s="174"/>
      <c r="D25" s="172"/>
      <c r="F25" s="141"/>
      <c r="G25" s="163"/>
      <c r="H25" s="141"/>
      <c r="I25" s="141"/>
      <c r="J25" s="141"/>
      <c r="K25" s="141"/>
      <c r="L25" s="141"/>
      <c r="M25" s="141"/>
    </row>
    <row r="26" ht="22" customHeight="1" spans="1:13">
      <c r="A26" s="168" t="s">
        <v>34</v>
      </c>
      <c r="B26" s="175">
        <f>SUM(B14:B25)/COUNTIF(B14:B25,"&gt;0")</f>
        <v>338</v>
      </c>
      <c r="C26" s="175">
        <f>SUM(C14:C25)/COUNTIF(C14:C25,"&gt;0")</f>
        <v>6959.33333333333</v>
      </c>
      <c r="D26" s="176" t="s">
        <v>35</v>
      </c>
      <c r="F26" s="141"/>
      <c r="G26" s="163"/>
      <c r="H26" s="141"/>
      <c r="I26" s="141"/>
      <c r="J26" s="141"/>
      <c r="K26" s="141"/>
      <c r="L26" s="141"/>
      <c r="M26" s="141"/>
    </row>
    <row r="27" ht="22" customHeight="1" spans="1:13">
      <c r="A27" s="152" t="s">
        <v>36</v>
      </c>
      <c r="B27" s="177" t="s">
        <v>37</v>
      </c>
      <c r="C27" s="178"/>
      <c r="D27" s="179"/>
      <c r="F27" s="141"/>
      <c r="G27" s="163"/>
      <c r="H27" s="141"/>
      <c r="I27" s="141"/>
      <c r="J27" s="141"/>
      <c r="K27" s="141"/>
      <c r="L27" s="141"/>
      <c r="M27" s="141"/>
    </row>
    <row r="28" ht="22" customHeight="1" spans="1:13">
      <c r="A28" s="152"/>
      <c r="B28" s="177" t="s">
        <v>38</v>
      </c>
      <c r="C28" s="178"/>
      <c r="D28" s="179"/>
      <c r="F28" s="141"/>
      <c r="G28" s="163"/>
      <c r="H28" s="141"/>
      <c r="I28" s="141"/>
      <c r="J28" s="141"/>
      <c r="K28" s="141"/>
      <c r="L28" s="141"/>
      <c r="M28" s="141"/>
    </row>
    <row r="29" spans="1:13">
      <c r="G29" s="163"/>
    </row>
    <row r="30" spans="1:13">
      <c r="G30" s="163"/>
    </row>
    <row r="31" spans="1:13">
      <c r="G31" s="163"/>
    </row>
    <row r="32" spans="1:13">
      <c r="G32" s="163"/>
    </row>
    <row r="33" spans="7:7">
      <c r="G33" s="163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{6737cb5c-8c64-4ea6-af1b-2ec7a83fe1ab}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7cb5c-8c64-4ea6-af1b-2ec7a83fe1ab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6"/>
  <sheetViews>
    <sheetView zoomScale="70" zoomScaleNormal="70" topLeftCell="A4" workbookViewId="0">
      <selection activeCell="D29" sqref="D29"/>
    </sheetView>
  </sheetViews>
  <sheetFormatPr defaultColWidth="14" defaultRowHeight="13"/>
  <cols>
    <col min="1" max="1" width="5" customWidth="1"/>
    <col min="2" max="3" width="28" customWidth="1"/>
    <col min="4" max="4" width="31" customWidth="1"/>
    <col min="5" max="5" width="50.7181818181818" customWidth="1"/>
    <col min="6" max="6" width="7" customWidth="1"/>
    <col min="7" max="7" width="25" customWidth="1"/>
    <col min="8" max="8" width="24.9545454545455" customWidth="1"/>
    <col min="9" max="9" width="31" customWidth="1"/>
    <col min="10" max="10" width="25.9090909090909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1:16">
      <c r="B2" s="65" t="s">
        <v>39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40</v>
      </c>
      <c r="G3" s="67" t="s">
        <v>41</v>
      </c>
    </row>
    <row r="4" ht="33" customHeight="1" spans="1:16">
      <c r="B4" s="68" t="s">
        <v>42</v>
      </c>
      <c r="C4" s="69" t="s">
        <v>43</v>
      </c>
      <c r="D4" s="68" t="s">
        <v>44</v>
      </c>
      <c r="E4" s="69" t="s">
        <v>45</v>
      </c>
      <c r="F4" s="70"/>
      <c r="G4" s="71" t="s">
        <v>46</v>
      </c>
      <c r="H4" s="72">
        <f>D23/D20</f>
        <v>0.378446802124522</v>
      </c>
      <c r="I4" s="73" t="str">
        <f>IF(H4&lt;=40%,"OK","消耗比例过高")</f>
        <v>OK</v>
      </c>
    </row>
    <row r="5" ht="33" customHeight="1" spans="1:16">
      <c r="B5" s="68" t="s">
        <v>47</v>
      </c>
      <c r="C5" s="74" t="s">
        <v>3</v>
      </c>
      <c r="D5" s="75" t="s">
        <v>48</v>
      </c>
      <c r="E5" s="76" t="s">
        <v>24</v>
      </c>
      <c r="F5" s="77"/>
      <c r="G5" s="71" t="s">
        <v>49</v>
      </c>
      <c r="H5" s="78">
        <f>ROUND(IF(AND(B17="增值税专用发票",D17&lt;0.09),(D21*(1.09-D17)+E7+D13+(C7+D11)*2.5%*(D16/12))/D22,IF(AND(B17="增值税普通发票",D17&lt;=0.09),(D21*1.09+E7+D13+(C7+D11)*2.5%*(D16/12))/D22,(D21+E7+D13+(C7+D11)*2.5%*(D16/12))/D22)),2)</f>
        <v>0.79</v>
      </c>
      <c r="I5" s="79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OK</v>
      </c>
      <c r="J5" s="80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0.8＞X≥0.75</v>
      </c>
      <c r="K5" s="81"/>
    </row>
    <row r="6" ht="33" customHeight="1" spans="1:16">
      <c r="B6" s="68" t="s">
        <v>50</v>
      </c>
      <c r="C6" s="74" t="s">
        <v>51</v>
      </c>
      <c r="D6" s="75" t="s">
        <v>52</v>
      </c>
      <c r="E6" s="82">
        <v>1</v>
      </c>
      <c r="F6" s="70"/>
      <c r="G6" s="83" t="s">
        <v>53</v>
      </c>
      <c r="H6" s="84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利润高风险可控</v>
      </c>
      <c r="I6" s="85"/>
      <c r="J6" s="86"/>
    </row>
    <row r="7" ht="33" customHeight="1" spans="1:16">
      <c r="B7" s="75" t="s">
        <v>54</v>
      </c>
      <c r="C7" s="87">
        <v>4800</v>
      </c>
      <c r="D7" s="75" t="s">
        <v>55</v>
      </c>
      <c r="E7" s="82">
        <v>0</v>
      </c>
      <c r="F7" s="70"/>
      <c r="G7" s="2"/>
      <c r="H7" s="2"/>
      <c r="I7" s="86"/>
      <c r="J7" s="86"/>
    </row>
    <row r="8" ht="28" customHeight="1" spans="1:16">
      <c r="B8" s="88"/>
      <c r="C8" s="88"/>
      <c r="D8" s="88"/>
      <c r="E8" s="88"/>
    </row>
    <row r="9" ht="36" customHeight="1" spans="1:16">
      <c r="A9" s="5"/>
      <c r="B9" s="68" t="s">
        <v>56</v>
      </c>
      <c r="C9" s="68"/>
      <c r="D9" s="68" t="s">
        <v>57</v>
      </c>
      <c r="E9" s="68" t="s">
        <v>32</v>
      </c>
      <c r="F9" s="70"/>
      <c r="G9" s="89" t="s">
        <v>58</v>
      </c>
      <c r="H9" s="89" t="s">
        <v>59</v>
      </c>
      <c r="I9" s="89"/>
      <c r="J9" s="89"/>
      <c r="K9" s="89"/>
      <c r="L9" s="89"/>
      <c r="M9" s="90"/>
    </row>
    <row r="10" ht="36" customHeight="1" spans="1:16">
      <c r="A10" s="5"/>
      <c r="B10" s="91" t="s">
        <v>60</v>
      </c>
      <c r="C10" s="91"/>
      <c r="D10" s="92">
        <v>4800</v>
      </c>
      <c r="E10" s="93" t="s">
        <v>61</v>
      </c>
      <c r="F10" s="5"/>
      <c r="G10" s="94" t="s">
        <v>62</v>
      </c>
      <c r="H10" s="94">
        <v>1</v>
      </c>
      <c r="I10" s="95">
        <v>2</v>
      </c>
      <c r="J10" s="94">
        <v>3</v>
      </c>
      <c r="K10" s="94">
        <v>4</v>
      </c>
      <c r="L10" s="94">
        <v>5</v>
      </c>
      <c r="M10" s="96"/>
      <c r="N10" s="97"/>
      <c r="O10" s="97"/>
    </row>
    <row r="11" ht="36" customHeight="1" spans="1:16">
      <c r="A11" s="5"/>
      <c r="B11" s="91" t="s">
        <v>63</v>
      </c>
      <c r="C11" s="91"/>
      <c r="D11" s="98">
        <v>30000</v>
      </c>
      <c r="E11" s="93" t="s">
        <v>64</v>
      </c>
      <c r="F11" s="99"/>
      <c r="G11" s="100" t="s">
        <v>65</v>
      </c>
      <c r="H11" s="101">
        <v>0.8</v>
      </c>
      <c r="I11" s="101"/>
      <c r="J11" s="101"/>
      <c r="K11" s="101"/>
      <c r="L11" s="101"/>
      <c r="M11" s="96"/>
      <c r="N11" s="97"/>
      <c r="O11" s="97"/>
    </row>
    <row r="12" ht="36" customHeight="1" spans="1:16">
      <c r="A12" s="5"/>
      <c r="B12" s="102" t="s">
        <v>66</v>
      </c>
      <c r="C12" s="91"/>
      <c r="D12" s="103" t="s">
        <v>67</v>
      </c>
      <c r="E12" s="104" t="s">
        <v>68</v>
      </c>
      <c r="F12" s="99"/>
      <c r="G12" s="100" t="s">
        <v>69</v>
      </c>
      <c r="H12" s="101">
        <v>1</v>
      </c>
      <c r="I12" s="101">
        <v>0.8</v>
      </c>
      <c r="J12" s="101"/>
      <c r="K12" s="101"/>
      <c r="L12" s="101"/>
      <c r="M12" s="96"/>
      <c r="N12" s="97"/>
      <c r="O12" s="97"/>
    </row>
    <row r="13" ht="36" customHeight="1" spans="1:16">
      <c r="A13" s="5"/>
      <c r="B13" s="102" t="s">
        <v>70</v>
      </c>
      <c r="C13" s="91"/>
      <c r="D13" s="98">
        <v>0</v>
      </c>
      <c r="E13" s="105" t="s">
        <v>71</v>
      </c>
      <c r="F13" s="99"/>
      <c r="G13" s="100" t="s">
        <v>72</v>
      </c>
      <c r="H13" s="101">
        <v>1.2</v>
      </c>
      <c r="I13" s="101">
        <v>1</v>
      </c>
      <c r="J13" s="101">
        <v>0.8</v>
      </c>
      <c r="K13" s="101"/>
      <c r="L13" s="101"/>
      <c r="M13" s="96"/>
      <c r="N13" s="97"/>
      <c r="O13" s="97"/>
    </row>
    <row r="14" ht="36" customHeight="1" spans="1:16">
      <c r="A14" s="5"/>
      <c r="B14" s="91" t="s">
        <v>73</v>
      </c>
      <c r="C14" s="91"/>
      <c r="D14" s="106">
        <v>0.7</v>
      </c>
      <c r="E14" s="93" t="s">
        <v>74</v>
      </c>
      <c r="F14" s="99"/>
      <c r="G14" s="100" t="s">
        <v>75</v>
      </c>
      <c r="H14" s="101">
        <v>1.45</v>
      </c>
      <c r="I14" s="101">
        <v>1.2</v>
      </c>
      <c r="J14" s="101">
        <v>1</v>
      </c>
      <c r="K14" s="101">
        <v>0.8</v>
      </c>
      <c r="L14" s="101"/>
      <c r="M14" s="107"/>
      <c r="N14" s="97"/>
      <c r="O14" s="97"/>
    </row>
    <row r="15" ht="36" customHeight="1" spans="1:16">
      <c r="A15" s="5"/>
      <c r="B15" s="108" t="s">
        <v>76</v>
      </c>
      <c r="C15" s="108"/>
      <c r="D15" s="98">
        <v>60</v>
      </c>
      <c r="E15" s="109" t="str">
        <f>IF(D15&lt;=D16,"建议合同有限年限比消耗年限多1年","实际会按券消耗年限执行")</f>
        <v>实际会按券消耗年限执行</v>
      </c>
      <c r="F15" s="99"/>
      <c r="G15" s="100" t="s">
        <v>77</v>
      </c>
      <c r="H15" s="101">
        <v>1.65</v>
      </c>
      <c r="I15" s="101">
        <v>1.45</v>
      </c>
      <c r="J15" s="101">
        <v>1.2</v>
      </c>
      <c r="K15" s="101">
        <v>1</v>
      </c>
      <c r="L15" s="101">
        <v>0.8</v>
      </c>
      <c r="M15" s="96"/>
      <c r="N15" s="110"/>
      <c r="O15" s="110"/>
      <c r="P15" s="111"/>
    </row>
    <row r="16" ht="36" customHeight="1" spans="1:16">
      <c r="A16" s="5"/>
      <c r="B16" s="108" t="s">
        <v>78</v>
      </c>
      <c r="C16" s="108"/>
      <c r="D16" s="112">
        <v>18</v>
      </c>
      <c r="E16" s="93" t="s">
        <v>79</v>
      </c>
      <c r="F16" s="99"/>
      <c r="G16" s="113" t="s">
        <v>80</v>
      </c>
      <c r="H16" s="101">
        <v>1.95</v>
      </c>
      <c r="I16" s="101">
        <v>1.65</v>
      </c>
      <c r="J16" s="101">
        <v>1.45</v>
      </c>
      <c r="K16" s="101">
        <v>1.2</v>
      </c>
      <c r="L16" s="101">
        <v>1</v>
      </c>
      <c r="M16" s="96"/>
      <c r="N16" s="97"/>
      <c r="O16" s="97"/>
    </row>
    <row r="17" ht="36" customHeight="1" spans="1:15">
      <c r="A17" s="5"/>
      <c r="B17" s="114" t="s">
        <v>81</v>
      </c>
      <c r="C17" s="114"/>
      <c r="D17" s="115">
        <v>0.03</v>
      </c>
      <c r="E17" s="93" t="s">
        <v>82</v>
      </c>
      <c r="F17" s="99"/>
      <c r="G17" s="116" t="s">
        <v>83</v>
      </c>
      <c r="H17" s="116"/>
      <c r="I17" s="116"/>
      <c r="J17" s="116"/>
      <c r="K17" s="116"/>
      <c r="L17" s="116"/>
      <c r="M17" s="110"/>
      <c r="N17" s="97"/>
      <c r="O17" s="97"/>
    </row>
    <row r="18" ht="36" customHeight="1" spans="1:15">
      <c r="A18" s="5"/>
      <c r="B18" s="91" t="s">
        <v>84</v>
      </c>
      <c r="C18" s="91"/>
      <c r="D18" s="98">
        <v>338</v>
      </c>
      <c r="E18" s="93" t="s">
        <v>85</v>
      </c>
      <c r="F18" s="99"/>
      <c r="G18" s="4" t="s">
        <v>86</v>
      </c>
      <c r="H18" s="88"/>
      <c r="J18" s="90"/>
    </row>
    <row r="19" ht="36" customHeight="1" spans="1:15">
      <c r="A19" s="5"/>
      <c r="B19" s="117" t="s">
        <v>87</v>
      </c>
      <c r="C19" s="118"/>
      <c r="D19" s="82">
        <v>6960</v>
      </c>
      <c r="E19" s="104" t="s">
        <v>88</v>
      </c>
      <c r="F19" s="99"/>
      <c r="G19" s="68" t="s">
        <v>58</v>
      </c>
      <c r="H19" s="68" t="s">
        <v>89</v>
      </c>
      <c r="J19" s="90"/>
    </row>
    <row r="20" ht="36" customHeight="1" spans="1:15">
      <c r="A20" s="5"/>
      <c r="B20" s="119" t="s">
        <v>90</v>
      </c>
      <c r="C20" s="120"/>
      <c r="D20" s="121">
        <f>D19+D18</f>
        <v>7298</v>
      </c>
      <c r="E20" s="122" t="s">
        <v>91</v>
      </c>
      <c r="F20" s="99"/>
      <c r="G20" s="123">
        <f>INDEX($H$11:$L$16,MATCH($J$5,$G$11:$G$16,0),MATCH(INT(($D16-1)/12)+1,$H$10:$L$10,0))</f>
        <v>1</v>
      </c>
      <c r="H20" s="124">
        <f>(D11+D10)*2%*G20</f>
        <v>696</v>
      </c>
      <c r="I20" s="5"/>
      <c r="J20" s="99"/>
    </row>
    <row r="21" ht="36" customHeight="1" spans="1:15">
      <c r="A21" s="5"/>
      <c r="B21" s="125" t="s">
        <v>92</v>
      </c>
      <c r="C21" s="125"/>
      <c r="D21" s="121">
        <f>D10+D11</f>
        <v>34800</v>
      </c>
      <c r="E21" s="122" t="s">
        <v>93</v>
      </c>
      <c r="F21" s="99"/>
      <c r="M21" s="90"/>
    </row>
    <row r="22" ht="36" customHeight="1" spans="1:15">
      <c r="A22" s="5"/>
      <c r="B22" s="125" t="s">
        <v>94</v>
      </c>
      <c r="C22" s="125"/>
      <c r="D22" s="121">
        <f>D21/D14</f>
        <v>49714.2857142857</v>
      </c>
      <c r="E22" s="122" t="s">
        <v>95</v>
      </c>
      <c r="F22" s="5"/>
      <c r="G22" s="126" t="s">
        <v>96</v>
      </c>
      <c r="H22" s="126" t="s">
        <v>97</v>
      </c>
      <c r="I22" s="126" t="s">
        <v>98</v>
      </c>
      <c r="J22" s="126" t="s">
        <v>96</v>
      </c>
      <c r="K22" s="126" t="s">
        <v>97</v>
      </c>
      <c r="L22" s="126" t="s">
        <v>98</v>
      </c>
      <c r="M22" s="90"/>
    </row>
    <row r="23" ht="36" customHeight="1" spans="1:15">
      <c r="A23" s="5"/>
      <c r="B23" s="125" t="s">
        <v>99</v>
      </c>
      <c r="C23" s="125"/>
      <c r="D23" s="121">
        <f>D22/D16</f>
        <v>2761.90476190476</v>
      </c>
      <c r="E23" s="122" t="s">
        <v>100</v>
      </c>
      <c r="F23" s="5"/>
      <c r="G23" s="127" t="s">
        <v>101</v>
      </c>
      <c r="H23" s="128" t="s">
        <v>21</v>
      </c>
      <c r="I23" s="129" t="str">
        <f>IF(H23="是","5","0")</f>
        <v>5</v>
      </c>
      <c r="J23" s="130" t="s">
        <v>102</v>
      </c>
      <c r="K23" s="131" t="s">
        <v>24</v>
      </c>
      <c r="L23" s="129" t="str">
        <f>IF(K23="是","20","0")</f>
        <v>0</v>
      </c>
      <c r="M23" s="90"/>
    </row>
    <row r="24" ht="36" customHeight="1" spans="1:15">
      <c r="A24" s="5"/>
      <c r="B24" s="132" t="s">
        <v>103</v>
      </c>
      <c r="C24" s="125"/>
      <c r="D24" s="121">
        <f>D10-C7-E7</f>
        <v>0</v>
      </c>
      <c r="E24" s="133" t="s">
        <v>104</v>
      </c>
      <c r="F24" s="5"/>
      <c r="G24" s="127" t="s">
        <v>105</v>
      </c>
      <c r="H24" s="128" t="s">
        <v>21</v>
      </c>
      <c r="I24" s="129" t="str">
        <f>IF(H24="否","0","15")</f>
        <v>15</v>
      </c>
      <c r="J24" s="127" t="s">
        <v>106</v>
      </c>
      <c r="K24" s="131" t="s">
        <v>21</v>
      </c>
      <c r="L24" s="129" t="str">
        <f>IF(K24="是","15","0")</f>
        <v>15</v>
      </c>
      <c r="M24" s="90"/>
    </row>
    <row r="25" ht="38.55" customHeight="1" spans="1:15">
      <c r="B25" s="132" t="s">
        <v>107</v>
      </c>
      <c r="C25" s="125"/>
      <c r="D25" s="121">
        <f>D22-(D13+E7)-IF(AND(B17="增值税专用发票",D17=9%),D21,IF(AND(B17="增值税专用发票",D17=5%),D21*1.04,IF(AND(B17="增值税专用发票",D17=3%),D21*1.06,D21*1.09)))-D11*3%*(D16/12)+D24</f>
        <v>10432.2857142857</v>
      </c>
      <c r="E25" s="133" t="s">
        <v>108</v>
      </c>
      <c r="G25" s="134" t="s">
        <v>109</v>
      </c>
      <c r="H25" s="128" t="s">
        <v>24</v>
      </c>
      <c r="I25" s="129" t="str">
        <f>IF(H25="是","10","0")</f>
        <v>0</v>
      </c>
      <c r="J25" s="127" t="s">
        <v>110</v>
      </c>
      <c r="K25" s="131" t="s">
        <v>24</v>
      </c>
      <c r="L25" s="129" t="str">
        <f>IF(K25="否","10","0")</f>
        <v>10</v>
      </c>
    </row>
    <row r="26" ht="32.85" customHeight="1" spans="1:15">
      <c r="D26">
        <f>D25/D22</f>
        <v>0.209844827586207</v>
      </c>
      <c r="G26" s="134" t="s">
        <v>111</v>
      </c>
      <c r="H26" s="128" t="s">
        <v>24</v>
      </c>
      <c r="I26" s="129" t="str">
        <f>IF(H26="是","5","0")</f>
        <v>0</v>
      </c>
      <c r="J26" s="135" t="s">
        <v>112</v>
      </c>
      <c r="K26" s="135"/>
      <c r="L26" s="136" t="str">
        <f>IF((I23+I24+I26+L23+L24+L25+IF(AND(H4&lt;50%,I5="ok"),"20","0"))&gt;60,"风险可控","风险高")</f>
        <v>风险可控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3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113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114</v>
      </c>
    </row>
    <row r="2" ht="30" customHeight="1" spans="1:18">
      <c r="A2" s="1"/>
      <c r="B2" s="4" t="s">
        <v>115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116</v>
      </c>
      <c r="C3" s="7"/>
      <c r="D3" s="8" t="s">
        <v>117</v>
      </c>
      <c r="E3" s="9" t="s">
        <v>118</v>
      </c>
      <c r="F3" s="9" t="s">
        <v>119</v>
      </c>
      <c r="G3" s="9" t="s">
        <v>120</v>
      </c>
      <c r="H3" s="9" t="s">
        <v>121</v>
      </c>
      <c r="I3" s="9" t="s">
        <v>122</v>
      </c>
      <c r="J3" s="9" t="s">
        <v>123</v>
      </c>
      <c r="K3" s="9" t="s">
        <v>32</v>
      </c>
      <c r="L3" s="10"/>
      <c r="M3" s="11"/>
      <c r="N3" s="12" t="s">
        <v>8</v>
      </c>
      <c r="O3" s="9" t="s">
        <v>56</v>
      </c>
      <c r="P3" s="9" t="s">
        <v>57</v>
      </c>
      <c r="Q3" s="9" t="s">
        <v>124</v>
      </c>
      <c r="R3" s="10" t="s">
        <v>32</v>
      </c>
    </row>
    <row r="4" ht="36" customHeight="1" spans="1:18">
      <c r="A4" s="5"/>
      <c r="B4" s="13" t="s">
        <v>125</v>
      </c>
      <c r="C4" s="14" t="s">
        <v>126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127</v>
      </c>
      <c r="L4" s="18"/>
      <c r="M4" s="11"/>
      <c r="N4" s="19" t="s">
        <v>128</v>
      </c>
      <c r="O4" s="14" t="s">
        <v>129</v>
      </c>
      <c r="P4" s="20">
        <v>420000</v>
      </c>
      <c r="Q4" s="21" t="s">
        <v>130</v>
      </c>
      <c r="R4" s="22" t="s">
        <v>131</v>
      </c>
    </row>
    <row r="5" ht="36" customHeight="1" spans="1:18">
      <c r="A5" s="5"/>
      <c r="B5" s="13"/>
      <c r="C5" s="14" t="s">
        <v>132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133</v>
      </c>
      <c r="L5" s="18"/>
      <c r="M5" s="11"/>
      <c r="N5" s="19" t="s">
        <v>134</v>
      </c>
      <c r="O5" s="23" t="s">
        <v>135</v>
      </c>
      <c r="P5" s="24">
        <v>8</v>
      </c>
      <c r="Q5" s="25" t="s">
        <v>136</v>
      </c>
      <c r="R5" s="26"/>
    </row>
    <row r="6" ht="36" customHeight="1" spans="1:18">
      <c r="A6" s="5"/>
      <c r="B6" s="13"/>
      <c r="C6" s="14" t="s">
        <v>137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138</v>
      </c>
      <c r="L6" s="28">
        <f>D6/(P9*12)</f>
        <v>-15000</v>
      </c>
      <c r="M6" s="11"/>
      <c r="N6" s="19" t="s">
        <v>139</v>
      </c>
      <c r="O6" s="23" t="s">
        <v>140</v>
      </c>
      <c r="P6" s="24">
        <v>5</v>
      </c>
      <c r="Q6" s="25" t="s">
        <v>136</v>
      </c>
      <c r="R6" s="29"/>
    </row>
    <row r="7" ht="36" customHeight="1" spans="1:18">
      <c r="A7" s="5"/>
      <c r="B7" s="13" t="s">
        <v>141</v>
      </c>
      <c r="C7" s="14" t="s">
        <v>142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143</v>
      </c>
      <c r="L7" s="32"/>
      <c r="M7" s="11"/>
      <c r="N7" s="19" t="s">
        <v>144</v>
      </c>
      <c r="O7" s="23" t="s">
        <v>145</v>
      </c>
      <c r="P7" s="24">
        <v>3.5</v>
      </c>
      <c r="Q7" s="25" t="s">
        <v>136</v>
      </c>
      <c r="R7" s="29"/>
    </row>
    <row r="8" ht="36" customHeight="1" spans="1:18">
      <c r="A8" s="5"/>
      <c r="B8" s="13"/>
      <c r="C8" s="14" t="s">
        <v>146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147</v>
      </c>
      <c r="L8" s="34"/>
      <c r="M8" s="35"/>
      <c r="N8" s="19" t="s">
        <v>148</v>
      </c>
      <c r="O8" s="14" t="s">
        <v>149</v>
      </c>
      <c r="P8" s="36">
        <v>4</v>
      </c>
      <c r="Q8" s="25" t="s">
        <v>150</v>
      </c>
      <c r="R8" s="29"/>
    </row>
    <row r="9" ht="36" customHeight="1" spans="1:18">
      <c r="A9" s="5"/>
      <c r="B9" s="37" t="s">
        <v>151</v>
      </c>
      <c r="C9" s="14" t="s">
        <v>152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153</v>
      </c>
      <c r="L9" s="32"/>
      <c r="M9" s="35"/>
      <c r="N9" s="19" t="s">
        <v>154</v>
      </c>
      <c r="O9" s="23" t="s">
        <v>155</v>
      </c>
      <c r="P9" s="39">
        <v>5</v>
      </c>
      <c r="Q9" s="25" t="s">
        <v>156</v>
      </c>
      <c r="R9" s="26"/>
    </row>
    <row r="10" ht="36" customHeight="1" spans="1:18">
      <c r="A10" s="5"/>
      <c r="B10" s="37"/>
      <c r="C10" s="14" t="s">
        <v>157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158</v>
      </c>
      <c r="L10" s="32"/>
      <c r="M10" s="11"/>
      <c r="N10" s="19" t="s">
        <v>159</v>
      </c>
      <c r="O10" s="14" t="s">
        <v>160</v>
      </c>
      <c r="P10" s="40">
        <v>8000</v>
      </c>
      <c r="Q10" s="21" t="s">
        <v>161</v>
      </c>
      <c r="R10" s="22" t="s">
        <v>131</v>
      </c>
    </row>
    <row r="11" ht="36" customHeight="1" spans="1:18">
      <c r="A11" s="5"/>
      <c r="B11" s="37"/>
      <c r="C11" s="14" t="s">
        <v>162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163</v>
      </c>
      <c r="L11" s="32"/>
      <c r="M11" s="11"/>
      <c r="N11" s="19" t="s">
        <v>164</v>
      </c>
      <c r="O11" s="14" t="s">
        <v>165</v>
      </c>
      <c r="P11" s="41"/>
      <c r="Q11" s="25" t="s">
        <v>136</v>
      </c>
      <c r="R11" s="42" t="s">
        <v>166</v>
      </c>
    </row>
    <row r="12" ht="36" customHeight="1" spans="1:18">
      <c r="A12" s="5"/>
      <c r="B12" s="37"/>
      <c r="C12" s="14" t="s">
        <v>167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168</v>
      </c>
      <c r="L12" s="32"/>
      <c r="M12" s="11"/>
      <c r="N12" s="19" t="s">
        <v>169</v>
      </c>
      <c r="O12" s="14" t="s">
        <v>170</v>
      </c>
      <c r="P12" s="36">
        <v>300000</v>
      </c>
      <c r="Q12" s="25" t="s">
        <v>161</v>
      </c>
      <c r="R12" s="26"/>
    </row>
    <row r="13" ht="36" customHeight="1" spans="1:18">
      <c r="A13" s="5"/>
      <c r="B13" s="37"/>
      <c r="C13" s="14" t="s">
        <v>171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172</v>
      </c>
      <c r="L13" s="32"/>
      <c r="M13" s="35"/>
      <c r="N13" s="19" t="s">
        <v>173</v>
      </c>
      <c r="O13" s="14" t="s">
        <v>174</v>
      </c>
      <c r="P13" s="43">
        <f>P12/P10/12</f>
        <v>3.125</v>
      </c>
      <c r="Q13" s="25" t="s">
        <v>156</v>
      </c>
      <c r="R13" s="26"/>
    </row>
    <row r="14" ht="36" customHeight="1" spans="1:18">
      <c r="A14" s="5"/>
      <c r="B14" s="37"/>
      <c r="C14" s="14" t="s">
        <v>175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176</v>
      </c>
      <c r="L14" s="45"/>
      <c r="M14" s="11"/>
      <c r="N14" s="19" t="s">
        <v>177</v>
      </c>
      <c r="O14" s="23" t="s">
        <v>178</v>
      </c>
      <c r="P14" s="36">
        <f>P5*P15</f>
        <v>8</v>
      </c>
      <c r="Q14" s="25" t="s">
        <v>136</v>
      </c>
      <c r="R14" s="26"/>
    </row>
    <row r="15" ht="36" customHeight="1" spans="1:18">
      <c r="A15" s="5"/>
      <c r="B15" s="37"/>
      <c r="C15" s="14" t="s">
        <v>179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180</v>
      </c>
      <c r="L15" s="46"/>
      <c r="M15" s="11"/>
      <c r="N15" s="19" t="s">
        <v>181</v>
      </c>
      <c r="O15" s="14" t="s">
        <v>182</v>
      </c>
      <c r="P15" s="36">
        <v>1</v>
      </c>
      <c r="Q15" s="25" t="s">
        <v>183</v>
      </c>
      <c r="R15" s="26"/>
    </row>
    <row r="16" ht="36" customHeight="1" spans="1:18">
      <c r="A16" s="5"/>
      <c r="B16" s="37"/>
      <c r="C16" s="14" t="s">
        <v>184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185</v>
      </c>
      <c r="O16" s="14" t="s">
        <v>186</v>
      </c>
      <c r="P16" s="36">
        <v>1000</v>
      </c>
      <c r="Q16" s="25" t="s">
        <v>187</v>
      </c>
      <c r="R16" s="46"/>
    </row>
    <row r="17" ht="36" customHeight="1" spans="1:18">
      <c r="A17" s="5"/>
      <c r="B17" s="37"/>
      <c r="C17" s="14" t="s">
        <v>188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189</v>
      </c>
      <c r="O17" s="14" t="s">
        <v>190</v>
      </c>
      <c r="P17" s="36">
        <v>300</v>
      </c>
      <c r="Q17" s="25" t="s">
        <v>191</v>
      </c>
      <c r="R17" s="26"/>
    </row>
    <row r="18" ht="36" customHeight="1" spans="1:18">
      <c r="A18" s="5"/>
      <c r="B18" s="47" t="s">
        <v>192</v>
      </c>
      <c r="C18" s="48"/>
      <c r="D18" s="49" t="e">
        <f>D7+D8-D9-D10-D11-D12-D13-D14-D15-D17</f>
        <v>#REF!</v>
      </c>
      <c r="E18" s="49"/>
      <c r="F18" s="50" t="s">
        <v>193</v>
      </c>
      <c r="G18" s="51"/>
      <c r="H18" s="52" t="e">
        <f>D18/(D7+D8)</f>
        <v>#REF!</v>
      </c>
      <c r="I18" s="53"/>
      <c r="J18" s="54" t="s">
        <v>194</v>
      </c>
      <c r="K18" s="48"/>
      <c r="L18" s="55" t="e">
        <f>(D18/(D9+D10+D11+D12+D13+D14+D15+D17))/P13</f>
        <v>#REF!</v>
      </c>
      <c r="M18" s="56"/>
      <c r="N18" s="19" t="s">
        <v>195</v>
      </c>
      <c r="O18" s="14" t="s">
        <v>196</v>
      </c>
      <c r="P18" s="36">
        <v>50</v>
      </c>
      <c r="Q18" s="25" t="s">
        <v>197</v>
      </c>
      <c r="R18" s="26"/>
    </row>
    <row r="19" ht="36" customHeight="1" spans="1:18">
      <c r="A19" s="5"/>
      <c r="B19" s="57" t="s">
        <v>198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199</v>
      </c>
      <c r="O19" s="14" t="s">
        <v>200</v>
      </c>
      <c r="P19" s="58">
        <v>0.05</v>
      </c>
      <c r="Q19" s="25"/>
      <c r="R19" s="22" t="s">
        <v>131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201</v>
      </c>
      <c r="O20" s="14" t="s">
        <v>202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203</v>
      </c>
      <c r="O21" s="61" t="s">
        <v>204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2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3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3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邓俊婷</cp:lastModifiedBy>
  <dcterms:created xsi:type="dcterms:W3CDTF">2025-04-25T12:46:00Z</dcterms:created>
  <dcterms:modified xsi:type="dcterms:W3CDTF">2026-05-11T02:19:51Z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562BDB3C4A8A438BA697125F6F054A56_13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